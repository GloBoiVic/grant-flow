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760"/>
  </bookViews>
  <sheets>
    <sheet name="Main Tracker - FOR BOARD" sheetId="8" r:id="rId1"/>
  </sheets>
  <definedNames>
    <definedName name="_xlnm.Print_Area" localSheetId="0">'Main Tracker - FOR BOARD'!$A$1:$J$55</definedName>
    <definedName name="_xlnm.Print_Titles" localSheetId="0">'Main Tracker - FOR BOARD'!$1:$1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<sst xmlns="http://schemas.openxmlformats.org/spreadsheetml/2006/main" count="408" uniqueCount="105">
  <si>
    <t xml:space="preserve">Funder </t>
  </si>
  <si>
    <t>Type</t>
  </si>
  <si>
    <t>Requested Year 2024</t>
  </si>
  <si>
    <t>Awarded Year 2024</t>
  </si>
  <si>
    <t>Requested Year 2025</t>
  </si>
  <si>
    <t>2025 Pending Requests</t>
  </si>
  <si>
    <t>Awarded Year 2025</t>
  </si>
  <si>
    <t>Current Status</t>
  </si>
  <si>
    <t>Next Steps</t>
  </si>
  <si>
    <t>Due Date</t>
  </si>
  <si>
    <t>Approve/Decline Date</t>
  </si>
  <si>
    <t xml:space="preserve">Award Timeframe </t>
  </si>
  <si>
    <t xml:space="preserve">Designation </t>
  </si>
  <si>
    <t>County Served</t>
  </si>
  <si>
    <t>Notes</t>
  </si>
  <si>
    <t xml:space="preserve"> Greater Milwaukee Free Clinic </t>
  </si>
  <si>
    <t>Foundation</t>
  </si>
  <si>
    <t>Approved Award</t>
  </si>
  <si>
    <t>Reporting</t>
  </si>
  <si>
    <t>Marjorie L. Christiansen Foundation</t>
  </si>
  <si>
    <t>Family Fund</t>
  </si>
  <si>
    <t>IMPACT 211</t>
  </si>
  <si>
    <t>All</t>
  </si>
  <si>
    <t>PPC Foundation</t>
  </si>
  <si>
    <t>Corporation</t>
  </si>
  <si>
    <t>WE Energies Foundation</t>
  </si>
  <si>
    <t>Charles D. Jacobus Family Foundation</t>
  </si>
  <si>
    <t>Charles E. Kubly Foundation</t>
  </si>
  <si>
    <t>Professional Development for CRS</t>
  </si>
  <si>
    <t>Chortek Fund</t>
  </si>
  <si>
    <t>Planning &amp; Eval</t>
  </si>
  <si>
    <t>Helfaer (Evan &amp; Marion) Foundation</t>
  </si>
  <si>
    <t xml:space="preserve">Richard Mihalek (Bequest) </t>
  </si>
  <si>
    <t xml:space="preserve">Unrestricted </t>
  </si>
  <si>
    <t>Bader Philanthropies</t>
  </si>
  <si>
    <t>2025-2026</t>
  </si>
  <si>
    <t>Milwaukee</t>
  </si>
  <si>
    <t>Two year grant, $15k in 2025, $15k in 2026</t>
  </si>
  <si>
    <t>Brewers Community Foundation</t>
  </si>
  <si>
    <t>Follow Up with Contact</t>
  </si>
  <si>
    <t>Catholic Community Foundation</t>
  </si>
  <si>
    <t>-</t>
  </si>
  <si>
    <t>Jane Bradley Pettit Foundation</t>
  </si>
  <si>
    <t>ROS Foundation</t>
  </si>
  <si>
    <t>Apply in Next Cycle</t>
  </si>
  <si>
    <t>United Way of Greater Milwaukee &amp; Waukesha County - FLOOD RECOVERY FUND</t>
  </si>
  <si>
    <t>United Way of Greater Milwaukee &amp; Waukesha County</t>
  </si>
  <si>
    <t>A.O. Smith Foundation</t>
  </si>
  <si>
    <t>Declined Award</t>
  </si>
  <si>
    <t>IMPACT CE</t>
  </si>
  <si>
    <t>Froedtert Community Investment Fund</t>
  </si>
  <si>
    <t>New cycle process for 2025</t>
  </si>
  <si>
    <t>Greater Milwaukee Foundation</t>
  </si>
  <si>
    <t>Otto Bremer Trust</t>
  </si>
  <si>
    <t>Racine Community Foundation</t>
  </si>
  <si>
    <t>Racine</t>
  </si>
  <si>
    <t>West Bend Community Foundation</t>
  </si>
  <si>
    <t>Washington</t>
  </si>
  <si>
    <t>Aurora Healthcare</t>
  </si>
  <si>
    <t>Declined LOI</t>
  </si>
  <si>
    <t>Lynde and Harry Bradley Foundation</t>
  </si>
  <si>
    <t>Brady Corporation Foundation</t>
  </si>
  <si>
    <t>Submitted</t>
  </si>
  <si>
    <t>Awaiting LOI Decision</t>
  </si>
  <si>
    <t>Ralph Evinrude Foundation</t>
  </si>
  <si>
    <t>Anon Charitable Trust</t>
  </si>
  <si>
    <t>Awaiting Award Decision</t>
  </si>
  <si>
    <t>Badger Meter Foundation</t>
  </si>
  <si>
    <t>First Business Charitable Foundation</t>
  </si>
  <si>
    <t>Koss Foundation</t>
  </si>
  <si>
    <t>Sensient Technologies Foundation</t>
  </si>
  <si>
    <t>Usinger Foundation, Inc.</t>
  </si>
  <si>
    <t>Weyco Group Charitable Trust</t>
  </si>
  <si>
    <t>Anthony (The Victor + Christine) Foundation</t>
  </si>
  <si>
    <t>Birnschein (Alvin &amp; Marion) Foundation, Inc.</t>
  </si>
  <si>
    <t>Charles E. Benidt Foundation, Inc.</t>
  </si>
  <si>
    <t>Ellinger (Albert J. &amp; Flora H.) Foundation</t>
  </si>
  <si>
    <t>George F. Moss Foundation</t>
  </si>
  <si>
    <t>Kindt (Gustav &amp; Gladys) Foundation</t>
  </si>
  <si>
    <t>Kloss (John and Ruth) Charitable Trust</t>
  </si>
  <si>
    <t>Kolaga Charitable Trust</t>
  </si>
  <si>
    <t>Mallinger Family Foundation</t>
  </si>
  <si>
    <t>McComas (Hazelyn &amp; Harrold) Charitable Trust</t>
  </si>
  <si>
    <t>Nicholas Family Foundation Trust</t>
  </si>
  <si>
    <t xml:space="preserve">Peck Foundation Milwaukee Ltd. </t>
  </si>
  <si>
    <t>Ralph Huiras Foundation</t>
  </si>
  <si>
    <t>Schnoenleber Foundation Inc</t>
  </si>
  <si>
    <t>Steigleder (Bert L. &amp; Patricia S.) Charitable Trust</t>
  </si>
  <si>
    <t>Styberg (E.C.) Foundation</t>
  </si>
  <si>
    <t>Toussaint (Olive &amp; Eunice) Foundation</t>
  </si>
  <si>
    <t>Greater Delafield Community Fund</t>
  </si>
  <si>
    <t>Waukesha</t>
  </si>
  <si>
    <t>Wisconsin Medical Society Foundation</t>
  </si>
  <si>
    <t>2026 Opportunities:</t>
  </si>
  <si>
    <t xml:space="preserve">Walmart </t>
  </si>
  <si>
    <t>To Apply</t>
  </si>
  <si>
    <t>PNC Foundation</t>
  </si>
  <si>
    <t>Weiss Family Foundation</t>
  </si>
  <si>
    <t>Patrick &amp; Anna Cudahy Fund</t>
  </si>
  <si>
    <t>Forest County Potawatomi Foundation</t>
  </si>
  <si>
    <t>In Progress</t>
  </si>
  <si>
    <t>Olympia Brown Unitarian Universalist Church</t>
  </si>
  <si>
    <t>St. Elizabeth Ann Seton Catholic Church</t>
  </si>
  <si>
    <t>Hunt (Frieda &amp; William) Memorial Trust</t>
  </si>
  <si>
    <t>Jennings (Susan &amp; Leander) Foundation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</si>
</sst>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"/>
  </numFmts>
  <fonts count="27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trike/>
      <sz val="11"/>
      <color theme="1"/>
      <name val="Aptos Narrow"/>
      <charset val="134"/>
      <scheme val="minor"/>
    </font>
    <font>
      <sz val="11"/>
      <color rgb="FF000000"/>
      <name val="Aptos Narrow"/>
      <charset val="134"/>
      <scheme val="minor"/>
    </font>
    <font>
      <b/>
      <sz val="11"/>
      <color rgb="FF000000"/>
      <name val="Aptos Narrow"/>
      <charset val="134"/>
      <scheme val="minor"/>
    </font>
    <font>
      <sz val="11"/>
      <color rgb="FF000000"/>
      <name val="Aptos Narrow"/>
      <charset val="134"/>
      <scheme val="minor"/>
    </font>
    <font>
      <sz val="11"/>
      <color rgb="FF000000"/>
      <name val="Aptos Narrow"/>
      <charset val="1"/>
    </font>
    <font>
      <sz val="11"/>
      <color theme="1"/>
      <name val="Aptos Narrow"/>
      <charset val="134"/>
      <scheme val="minor"/>
    </font>
    <font>
      <u/>
      <sz val="11"/>
      <color theme="10"/>
      <name val="Aptos Narrow"/>
      <charset val="134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7" fillId="6" borderId="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10" applyNumberFormat="0" applyAlignment="0" applyProtection="0">
      <alignment vertical="center"/>
    </xf>
    <xf numFmtId="0" fontId="17" fillId="8" borderId="11" applyNumberFormat="0" applyAlignment="0" applyProtection="0">
      <alignment vertical="center"/>
    </xf>
    <xf numFmtId="0" fontId="18" fillId="8" borderId="10" applyNumberFormat="0" applyAlignment="0" applyProtection="0">
      <alignment vertical="center"/>
    </xf>
    <xf numFmtId="0" fontId="19" fillId="9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0" borderId="0" xfId="0" applyAlignment="1">
      <alignment vertical="center" wrapText="1"/>
    </xf>
    <xf numFmtId="178" fontId="0" fillId="0" borderId="0" xfId="0" applyNumberForma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 wrapText="1"/>
    </xf>
    <xf numFmtId="178" fontId="0" fillId="0" borderId="0" xfId="0" applyNumberFormat="1" applyAlignment="1">
      <alignment horizontal="right" vertical="center" wrapText="1"/>
    </xf>
    <xf numFmtId="0" fontId="0" fillId="2" borderId="1" xfId="0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1" xfId="0" applyBorder="1" applyAlignment="1">
      <alignment vertical="center" wrapText="1"/>
    </xf>
    <xf numFmtId="178" fontId="0" fillId="0" borderId="2" xfId="0" applyNumberFormat="1" applyBorder="1" applyAlignment="1">
      <alignment horizontal="right" vertical="center" wrapText="1"/>
    </xf>
    <xf numFmtId="0" fontId="0" fillId="2" borderId="3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178" fontId="0" fillId="0" borderId="4" xfId="0" applyNumberFormat="1" applyBorder="1" applyAlignment="1">
      <alignment horizontal="right" vertical="center" wrapText="1"/>
    </xf>
    <xf numFmtId="178" fontId="4" fillId="4" borderId="0" xfId="0" applyNumberFormat="1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78" fontId="0" fillId="4" borderId="0" xfId="0" applyNumberFormat="1" applyFill="1" applyAlignment="1">
      <alignment horizontal="right" vertical="center" wrapText="1"/>
    </xf>
    <xf numFmtId="178" fontId="0" fillId="4" borderId="4" xfId="0" applyNumberFormat="1" applyFill="1" applyBorder="1" applyAlignment="1">
      <alignment horizontal="right" vertical="center" wrapText="1"/>
    </xf>
    <xf numFmtId="178" fontId="0" fillId="5" borderId="4" xfId="0" applyNumberFormat="1" applyFill="1" applyBorder="1" applyAlignment="1">
      <alignment horizontal="right" vertical="center" wrapText="1"/>
    </xf>
    <xf numFmtId="0" fontId="0" fillId="0" borderId="4" xfId="0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58" fontId="0" fillId="0" borderId="0" xfId="0" applyNumberFormat="1" applyAlignment="1">
      <alignment horizontal="center" vertical="center" wrapText="1"/>
    </xf>
    <xf numFmtId="15" fontId="0" fillId="0" borderId="0" xfId="0" applyNumberFormat="1" applyAlignment="1">
      <alignment horizontal="center" vertical="center" wrapText="1"/>
    </xf>
    <xf numFmtId="58" fontId="6" fillId="0" borderId="0" xfId="0" applyNumberFormat="1" applyFont="1" applyAlignment="1">
      <alignment wrapText="1"/>
    </xf>
    <xf numFmtId="58" fontId="0" fillId="0" borderId="0" xfId="0" applyNumberFormat="1" applyAlignment="1">
      <alignment wrapText="1"/>
    </xf>
    <xf numFmtId="58" fontId="0" fillId="0" borderId="2" xfId="0" applyNumberForma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5">
    <dxf>
      <alignment vertical="center" wrapText="1"/>
    </dxf>
    <dxf>
      <alignment vertical="center" wrapText="1"/>
    </dxf>
    <dxf>
      <numFmt numFmtId="178" formatCode="&quot;$&quot;#,##0"/>
      <alignment horizontal="right" vertical="center" wrapText="1"/>
    </dxf>
    <dxf>
      <numFmt numFmtId="178" formatCode="&quot;$&quot;#,##0"/>
      <alignment horizontal="right" vertical="center" wrapText="1"/>
    </dxf>
    <dxf>
      <numFmt numFmtId="178" formatCode="&quot;$&quot;#,##0"/>
      <alignment horizontal="right" vertical="center" wrapText="1"/>
    </dxf>
    <dxf>
      <numFmt numFmtId="178" formatCode="&quot;$&quot;#,##0"/>
      <alignment horizontal="right" vertical="center" wrapText="1"/>
    </dxf>
    <dxf>
      <numFmt numFmtId="178" formatCode="&quot;$&quot;#,##0"/>
      <alignment horizontal="right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name val="Aptos Narrow"/>
        <scheme val="none"/>
        <b val="0"/>
        <i val="0"/>
        <strike val="0"/>
        <u val="none"/>
        <sz val="11"/>
        <color rgb="FF000000"/>
      </font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able33" displayName="Table33" ref="A1:O54" totalsRowShown="0">
  <autoFilter xmlns:etc="http://www.wps.cn/officeDocument/2017/etCustomData" ref="A1:O54" etc:filterBottomFollowUsedRange="0"/>
  <sortState ref="A1:O54">
    <sortCondition ref="H4:H54"/>
  </sortState>
  <tableColumns count="15">
    <tableColumn id="1" name="Funder " dataDxfId="0"/>
    <tableColumn id="2" name="Type" dataDxfId="1"/>
    <tableColumn id="3" name="Requested Year 2024" dataDxfId="2"/>
    <tableColumn id="4" name="Awarded Year 2024" dataDxfId="3"/>
    <tableColumn id="5" name="Requested Year 2025" dataDxfId="4"/>
    <tableColumn id="18" name="2025 Pending Requests" dataDxfId="5"/>
    <tableColumn id="6" name="Awarded Year 2025" dataDxfId="6"/>
    <tableColumn id="7" name="Current Status" dataDxfId="7"/>
    <tableColumn id="8" name="Next Steps" dataDxfId="8"/>
    <tableColumn id="9" name="Due Date" dataDxfId="9"/>
    <tableColumn id="10" name="Approve/Decline Date" dataDxfId="10"/>
    <tableColumn id="11" name="Award Timeframe " dataDxfId="11"/>
    <tableColumn id="12" name="Designation " dataDxfId="12"/>
    <tableColumn id="14" name="County Served" dataDxfId="13"/>
    <tableColumn id="13" name="Notes" dataDxfId="1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O71"/>
  <sheetViews>
    <sheetView tabSelected="1" workbookViewId="0">
      <selection activeCell="A11" sqref="A11"/>
    </sheetView>
  </sheetViews>
  <sheetFormatPr defaultColWidth="9.13970588235294" defaultRowHeight="16.8"/>
  <cols>
    <col min="1" max="1" width="41.1397058823529" style="3" customWidth="1"/>
    <col min="2" max="2" width="13.8529411764706" style="3" customWidth="1"/>
    <col min="3" max="3" width="23.1397058823529" style="3" hidden="1" customWidth="1"/>
    <col min="4" max="4" width="21.7132352941176" style="3" hidden="1" customWidth="1"/>
    <col min="5" max="5" width="23.7132352941176" style="4" customWidth="1"/>
    <col min="6" max="6" width="23.7132352941176" style="3" customWidth="1"/>
    <col min="7" max="7" width="19.1397058823529" style="4" customWidth="1"/>
    <col min="8" max="8" width="20.4264705882353" style="3" customWidth="1"/>
    <col min="9" max="9" width="22.4264705882353" style="3" customWidth="1"/>
    <col min="10" max="10" width="11.5735294117647" style="3" customWidth="1"/>
    <col min="11" max="11" width="23" style="3" customWidth="1"/>
    <col min="12" max="12" width="19.4264705882353" style="5" customWidth="1"/>
    <col min="13" max="14" width="17.4264705882353" style="3" customWidth="1"/>
    <col min="15" max="15" width="36.5735294117647" style="6" customWidth="1"/>
    <col min="16" max="16384" width="9.13970588235294" style="6"/>
  </cols>
  <sheetData>
    <row r="1" s="1" customFormat="1" ht="17" spans="1:15">
      <c r="A1" s="7" t="s">
        <v>0</v>
      </c>
      <c r="B1" s="7" t="s">
        <v>1</v>
      </c>
      <c r="C1" s="7" t="s">
        <v>2</v>
      </c>
      <c r="D1" s="7" t="s">
        <v>3</v>
      </c>
      <c r="E1" s="19" t="s">
        <v>4</v>
      </c>
      <c r="F1" s="20" t="s">
        <v>5</v>
      </c>
      <c r="G1" s="19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</row>
    <row r="2" ht="17" spans="1:15">
      <c r="A2" s="3" t="s">
        <v>15</v>
      </c>
      <c r="B2" s="3" t="s">
        <v>16</v>
      </c>
      <c r="C2" s="8"/>
      <c r="D2" s="8"/>
      <c r="E2" s="8"/>
      <c r="F2" s="8"/>
      <c r="G2" s="8">
        <v>10000</v>
      </c>
      <c r="H2" s="21" t="s">
        <v>17</v>
      </c>
      <c r="I2" s="21" t="s">
        <v>18</v>
      </c>
      <c r="J2" s="21"/>
      <c r="K2" s="21"/>
      <c r="L2" s="27"/>
      <c r="M2" s="21"/>
      <c r="N2" s="21"/>
      <c r="O2" s="21"/>
    </row>
    <row r="3" ht="17" spans="1:15">
      <c r="A3" s="9" t="s">
        <v>19</v>
      </c>
      <c r="B3" s="10" t="s">
        <v>20</v>
      </c>
      <c r="C3" s="11">
        <v>5000</v>
      </c>
      <c r="D3" s="11">
        <v>2000</v>
      </c>
      <c r="E3" s="15">
        <v>5000</v>
      </c>
      <c r="F3" s="15"/>
      <c r="G3" s="15">
        <v>2500</v>
      </c>
      <c r="H3" s="22" t="s">
        <v>17</v>
      </c>
      <c r="I3" s="22" t="s">
        <v>18</v>
      </c>
      <c r="J3" s="22"/>
      <c r="K3" s="22"/>
      <c r="L3" s="28"/>
      <c r="M3" s="22" t="s">
        <v>21</v>
      </c>
      <c r="N3" s="22" t="s">
        <v>22</v>
      </c>
      <c r="O3" s="36"/>
    </row>
    <row r="4" ht="17" spans="1:15">
      <c r="A4" s="12" t="s">
        <v>23</v>
      </c>
      <c r="B4" s="3" t="s">
        <v>24</v>
      </c>
      <c r="C4" s="8">
        <v>2000</v>
      </c>
      <c r="D4" s="8">
        <v>0</v>
      </c>
      <c r="E4" s="8">
        <v>2000</v>
      </c>
      <c r="F4" s="8"/>
      <c r="G4" s="23">
        <v>2000</v>
      </c>
      <c r="H4" s="21" t="s">
        <v>17</v>
      </c>
      <c r="I4" s="21" t="s">
        <v>18</v>
      </c>
      <c r="J4" s="21"/>
      <c r="K4" s="21"/>
      <c r="L4" s="29"/>
      <c r="M4" s="21" t="s">
        <v>21</v>
      </c>
      <c r="N4" s="21" t="s">
        <v>22</v>
      </c>
      <c r="O4" s="21"/>
    </row>
    <row r="5" s="2" customFormat="1" ht="17" spans="1:15">
      <c r="A5" s="12" t="s">
        <v>25</v>
      </c>
      <c r="B5" s="3" t="s">
        <v>24</v>
      </c>
      <c r="C5" s="8">
        <v>10000</v>
      </c>
      <c r="D5" s="8">
        <v>5000</v>
      </c>
      <c r="E5" s="8">
        <v>10000</v>
      </c>
      <c r="F5" s="8"/>
      <c r="G5" s="8">
        <v>10000</v>
      </c>
      <c r="H5" s="21" t="s">
        <v>17</v>
      </c>
      <c r="I5" s="21" t="s">
        <v>18</v>
      </c>
      <c r="J5" s="21"/>
      <c r="K5" s="21"/>
      <c r="L5" s="29"/>
      <c r="M5" s="21" t="s">
        <v>21</v>
      </c>
      <c r="N5" s="21" t="s">
        <v>22</v>
      </c>
      <c r="O5" s="21"/>
    </row>
    <row r="6" ht="17" spans="1:15">
      <c r="A6" s="12" t="s">
        <v>26</v>
      </c>
      <c r="B6" s="3" t="s">
        <v>20</v>
      </c>
      <c r="C6" s="8"/>
      <c r="D6" s="8"/>
      <c r="E6" s="8"/>
      <c r="F6" s="8"/>
      <c r="G6" s="23">
        <v>4250</v>
      </c>
      <c r="H6" s="21" t="s">
        <v>17</v>
      </c>
      <c r="I6" s="21" t="s">
        <v>18</v>
      </c>
      <c r="J6" s="21"/>
      <c r="K6" s="21"/>
      <c r="L6" s="27"/>
      <c r="M6" s="21" t="s">
        <v>21</v>
      </c>
      <c r="N6" s="21" t="s">
        <v>22</v>
      </c>
      <c r="O6" s="21"/>
    </row>
    <row r="7" ht="17" spans="1:15">
      <c r="A7" s="12" t="s">
        <v>27</v>
      </c>
      <c r="B7" s="3" t="s">
        <v>20</v>
      </c>
      <c r="C7" s="8">
        <v>6000</v>
      </c>
      <c r="D7" s="8">
        <v>0</v>
      </c>
      <c r="E7" s="8">
        <v>1000</v>
      </c>
      <c r="F7" s="8"/>
      <c r="G7" s="8">
        <v>1000</v>
      </c>
      <c r="H7" s="21" t="s">
        <v>17</v>
      </c>
      <c r="I7" s="21" t="s">
        <v>18</v>
      </c>
      <c r="J7" s="21"/>
      <c r="K7" s="21"/>
      <c r="L7" s="29"/>
      <c r="M7" s="21" t="s">
        <v>21</v>
      </c>
      <c r="N7" s="21" t="s">
        <v>22</v>
      </c>
      <c r="O7" s="21" t="s">
        <v>28</v>
      </c>
    </row>
    <row r="8" ht="17" spans="1:15">
      <c r="A8" s="3" t="s">
        <v>29</v>
      </c>
      <c r="B8" s="3" t="s">
        <v>20</v>
      </c>
      <c r="C8" s="8"/>
      <c r="D8" s="8"/>
      <c r="E8" s="8"/>
      <c r="F8" s="8"/>
      <c r="G8" s="8">
        <v>3269</v>
      </c>
      <c r="H8" s="21" t="s">
        <v>17</v>
      </c>
      <c r="I8" s="21" t="s">
        <v>18</v>
      </c>
      <c r="J8" s="21"/>
      <c r="K8" s="21"/>
      <c r="L8" s="27"/>
      <c r="M8" s="21" t="s">
        <v>30</v>
      </c>
      <c r="N8" s="21"/>
      <c r="O8" s="21"/>
    </row>
    <row r="9" ht="17" spans="1:15">
      <c r="A9" s="12" t="s">
        <v>31</v>
      </c>
      <c r="B9" s="3" t="s">
        <v>20</v>
      </c>
      <c r="C9" s="8">
        <v>5000</v>
      </c>
      <c r="D9" s="8">
        <v>0</v>
      </c>
      <c r="E9" s="8">
        <v>5000</v>
      </c>
      <c r="F9" s="8"/>
      <c r="G9" s="8">
        <v>1500</v>
      </c>
      <c r="H9" s="21" t="s">
        <v>17</v>
      </c>
      <c r="I9" s="21" t="s">
        <v>18</v>
      </c>
      <c r="J9" s="21"/>
      <c r="K9" s="21"/>
      <c r="L9" s="29"/>
      <c r="M9" s="21" t="s">
        <v>21</v>
      </c>
      <c r="N9" s="21" t="s">
        <v>22</v>
      </c>
      <c r="O9" s="21"/>
    </row>
    <row r="10" ht="17" spans="1:15">
      <c r="A10" s="3" t="s">
        <v>32</v>
      </c>
      <c r="B10" s="3" t="s">
        <v>20</v>
      </c>
      <c r="C10" s="8"/>
      <c r="D10" s="8"/>
      <c r="E10" s="8"/>
      <c r="F10" s="8"/>
      <c r="G10" s="8">
        <v>106657</v>
      </c>
      <c r="H10" s="21" t="s">
        <v>17</v>
      </c>
      <c r="I10" s="21"/>
      <c r="J10" s="30"/>
      <c r="K10" s="21"/>
      <c r="L10" s="27"/>
      <c r="M10" s="21" t="s">
        <v>33</v>
      </c>
      <c r="N10" s="21" t="s">
        <v>22</v>
      </c>
      <c r="O10" s="21"/>
    </row>
    <row r="11" ht="17" spans="1:15">
      <c r="A11" s="12" t="s">
        <v>34</v>
      </c>
      <c r="B11" s="3" t="s">
        <v>16</v>
      </c>
      <c r="C11" s="8">
        <v>25000</v>
      </c>
      <c r="D11" s="8">
        <v>0</v>
      </c>
      <c r="E11" s="8">
        <v>30000</v>
      </c>
      <c r="F11" s="8"/>
      <c r="G11" s="8">
        <v>30000</v>
      </c>
      <c r="H11" s="21" t="s">
        <v>17</v>
      </c>
      <c r="I11" s="21" t="s">
        <v>18</v>
      </c>
      <c r="J11" s="21"/>
      <c r="K11" s="30">
        <v>45964</v>
      </c>
      <c r="L11" s="29" t="s">
        <v>35</v>
      </c>
      <c r="M11" s="21" t="s">
        <v>21</v>
      </c>
      <c r="N11" s="21" t="s">
        <v>36</v>
      </c>
      <c r="O11" s="21" t="s">
        <v>37</v>
      </c>
    </row>
    <row r="12" ht="17" spans="1:15">
      <c r="A12" s="12" t="s">
        <v>38</v>
      </c>
      <c r="B12" s="3" t="s">
        <v>16</v>
      </c>
      <c r="C12" s="8">
        <v>5000</v>
      </c>
      <c r="D12" s="8">
        <v>0</v>
      </c>
      <c r="E12" s="8">
        <v>10000</v>
      </c>
      <c r="F12" s="8"/>
      <c r="G12" s="8">
        <v>5000</v>
      </c>
      <c r="H12" s="21" t="s">
        <v>17</v>
      </c>
      <c r="I12" s="21" t="s">
        <v>39</v>
      </c>
      <c r="J12" s="21"/>
      <c r="K12" s="21"/>
      <c r="L12" s="29"/>
      <c r="M12" s="21" t="s">
        <v>33</v>
      </c>
      <c r="N12" s="21" t="s">
        <v>36</v>
      </c>
      <c r="O12" s="21"/>
    </row>
    <row r="13" ht="17" spans="1:15">
      <c r="A13" s="12" t="s">
        <v>40</v>
      </c>
      <c r="B13" s="3" t="s">
        <v>16</v>
      </c>
      <c r="C13" s="8" t="s">
        <v>41</v>
      </c>
      <c r="D13" s="8" t="s">
        <v>41</v>
      </c>
      <c r="E13" s="8">
        <v>7500</v>
      </c>
      <c r="F13" s="8"/>
      <c r="G13" s="8">
        <v>7500</v>
      </c>
      <c r="H13" s="21" t="s">
        <v>17</v>
      </c>
      <c r="I13" s="21" t="s">
        <v>18</v>
      </c>
      <c r="J13" s="21"/>
      <c r="K13" s="21"/>
      <c r="L13" s="29"/>
      <c r="M13" s="21" t="s">
        <v>21</v>
      </c>
      <c r="N13" s="21" t="s">
        <v>36</v>
      </c>
      <c r="O13" s="21"/>
    </row>
    <row r="14" ht="17" spans="1:15">
      <c r="A14" s="12" t="s">
        <v>42</v>
      </c>
      <c r="B14" s="3" t="s">
        <v>16</v>
      </c>
      <c r="C14" s="8" t="s">
        <v>41</v>
      </c>
      <c r="D14" s="8" t="s">
        <v>41</v>
      </c>
      <c r="E14" s="8">
        <v>20000</v>
      </c>
      <c r="F14" s="8"/>
      <c r="G14" s="8">
        <v>5000</v>
      </c>
      <c r="H14" s="21" t="s">
        <v>17</v>
      </c>
      <c r="I14" s="21" t="s">
        <v>18</v>
      </c>
      <c r="J14" s="21"/>
      <c r="K14" s="21"/>
      <c r="L14" s="29"/>
      <c r="M14" s="21" t="s">
        <v>21</v>
      </c>
      <c r="N14" s="21" t="s">
        <v>36</v>
      </c>
      <c r="O14" s="21"/>
    </row>
    <row r="15" ht="17" spans="1:15">
      <c r="A15" s="12" t="s">
        <v>43</v>
      </c>
      <c r="B15" s="3" t="s">
        <v>16</v>
      </c>
      <c r="C15" s="8">
        <v>0</v>
      </c>
      <c r="D15" s="8">
        <v>75000</v>
      </c>
      <c r="E15" s="8">
        <v>75000</v>
      </c>
      <c r="F15" s="8"/>
      <c r="G15" s="8">
        <v>75000</v>
      </c>
      <c r="H15" s="21" t="s">
        <v>17</v>
      </c>
      <c r="I15" s="21" t="s">
        <v>44</v>
      </c>
      <c r="J15" s="21"/>
      <c r="K15" s="21"/>
      <c r="L15" s="29"/>
      <c r="M15" s="21" t="s">
        <v>21</v>
      </c>
      <c r="N15" s="21" t="s">
        <v>22</v>
      </c>
      <c r="O15" s="21"/>
    </row>
    <row r="16" ht="34" spans="1:15">
      <c r="A16" s="13" t="s">
        <v>45</v>
      </c>
      <c r="B16" s="3" t="s">
        <v>16</v>
      </c>
      <c r="C16" s="8"/>
      <c r="D16" s="8"/>
      <c r="E16" s="8"/>
      <c r="F16" s="8"/>
      <c r="G16" s="8">
        <v>20000</v>
      </c>
      <c r="H16" s="21" t="s">
        <v>17</v>
      </c>
      <c r="I16" s="21" t="s">
        <v>18</v>
      </c>
      <c r="J16" s="21"/>
      <c r="K16" s="21"/>
      <c r="L16" s="27"/>
      <c r="M16" s="21" t="s">
        <v>21</v>
      </c>
      <c r="N16" s="21"/>
      <c r="O16" s="21"/>
    </row>
    <row r="17" ht="34" spans="1:15">
      <c r="A17" s="12" t="s">
        <v>46</v>
      </c>
      <c r="B17" s="3" t="s">
        <v>16</v>
      </c>
      <c r="C17" s="8"/>
      <c r="D17" s="8"/>
      <c r="E17" s="8"/>
      <c r="F17" s="8"/>
      <c r="G17" s="8">
        <v>59510</v>
      </c>
      <c r="H17" s="21" t="s">
        <v>17</v>
      </c>
      <c r="I17" s="21" t="s">
        <v>39</v>
      </c>
      <c r="J17" s="21"/>
      <c r="K17" s="21"/>
      <c r="L17" s="27"/>
      <c r="M17" s="21"/>
      <c r="N17" s="21"/>
      <c r="O17" s="21"/>
    </row>
    <row r="18" ht="17" spans="1:15">
      <c r="A18" s="3" t="s">
        <v>47</v>
      </c>
      <c r="B18" s="3" t="s">
        <v>24</v>
      </c>
      <c r="C18" s="8">
        <v>5000</v>
      </c>
      <c r="D18" s="8">
        <v>0</v>
      </c>
      <c r="E18" s="8">
        <v>5000</v>
      </c>
      <c r="F18" s="8"/>
      <c r="G18" s="8"/>
      <c r="H18" s="21" t="s">
        <v>48</v>
      </c>
      <c r="I18" s="21" t="s">
        <v>44</v>
      </c>
      <c r="J18" s="21"/>
      <c r="K18" s="30">
        <v>45579</v>
      </c>
      <c r="L18" s="29">
        <v>2025</v>
      </c>
      <c r="M18" s="21" t="s">
        <v>49</v>
      </c>
      <c r="N18" s="21" t="s">
        <v>36</v>
      </c>
      <c r="O18" s="21"/>
    </row>
    <row r="19" ht="17" spans="1:15">
      <c r="A19" s="12" t="s">
        <v>50</v>
      </c>
      <c r="B19" s="3" t="s">
        <v>16</v>
      </c>
      <c r="C19" s="8">
        <v>25000</v>
      </c>
      <c r="D19" s="8">
        <v>25000</v>
      </c>
      <c r="E19" s="8">
        <v>25000</v>
      </c>
      <c r="F19" s="8"/>
      <c r="G19" s="8">
        <v>0</v>
      </c>
      <c r="H19" s="21" t="s">
        <v>48</v>
      </c>
      <c r="I19" s="21" t="s">
        <v>44</v>
      </c>
      <c r="J19" s="31">
        <v>45869</v>
      </c>
      <c r="K19" s="30">
        <v>45880</v>
      </c>
      <c r="L19" s="29">
        <v>2026</v>
      </c>
      <c r="M19" s="21" t="s">
        <v>21</v>
      </c>
      <c r="N19" s="21" t="s">
        <v>36</v>
      </c>
      <c r="O19" s="21" t="s">
        <v>51</v>
      </c>
    </row>
    <row r="20" ht="17" spans="1:15">
      <c r="A20" s="12" t="s">
        <v>52</v>
      </c>
      <c r="B20" s="3" t="s">
        <v>16</v>
      </c>
      <c r="C20" s="8">
        <v>10000</v>
      </c>
      <c r="D20" s="8">
        <v>10000</v>
      </c>
      <c r="E20" s="8">
        <v>75000</v>
      </c>
      <c r="F20" s="8"/>
      <c r="G20" s="8">
        <v>0</v>
      </c>
      <c r="H20" s="21" t="s">
        <v>48</v>
      </c>
      <c r="I20" s="21" t="s">
        <v>44</v>
      </c>
      <c r="J20" s="21"/>
      <c r="K20" s="21"/>
      <c r="L20" s="29"/>
      <c r="M20" s="21" t="s">
        <v>21</v>
      </c>
      <c r="N20" s="21" t="s">
        <v>36</v>
      </c>
      <c r="O20" s="21"/>
    </row>
    <row r="21" ht="17" spans="1:15">
      <c r="A21" s="12" t="s">
        <v>53</v>
      </c>
      <c r="B21" s="3" t="s">
        <v>16</v>
      </c>
      <c r="C21" s="8">
        <v>60000</v>
      </c>
      <c r="D21" s="8">
        <v>0</v>
      </c>
      <c r="E21" s="8">
        <v>75000</v>
      </c>
      <c r="F21" s="8"/>
      <c r="G21" s="8">
        <v>0</v>
      </c>
      <c r="H21" s="21" t="s">
        <v>48</v>
      </c>
      <c r="I21" s="21" t="s">
        <v>44</v>
      </c>
      <c r="J21" s="21"/>
      <c r="K21" s="21"/>
      <c r="L21" s="29"/>
      <c r="M21" s="21" t="s">
        <v>21</v>
      </c>
      <c r="N21" s="21" t="s">
        <v>36</v>
      </c>
      <c r="O21" s="21"/>
    </row>
    <row r="22" ht="17" spans="1:15">
      <c r="A22" s="12" t="s">
        <v>54</v>
      </c>
      <c r="B22" s="3" t="s">
        <v>16</v>
      </c>
      <c r="C22" s="8">
        <v>10000</v>
      </c>
      <c r="D22" s="8">
        <v>10000</v>
      </c>
      <c r="E22" s="8">
        <v>10000</v>
      </c>
      <c r="F22" s="8"/>
      <c r="G22" s="8"/>
      <c r="H22" s="21" t="s">
        <v>48</v>
      </c>
      <c r="I22" s="21" t="s">
        <v>44</v>
      </c>
      <c r="J22" s="21">
        <v>2025</v>
      </c>
      <c r="K22" s="21"/>
      <c r="L22" s="29"/>
      <c r="M22" s="21" t="s">
        <v>21</v>
      </c>
      <c r="N22" s="21" t="s">
        <v>55</v>
      </c>
      <c r="O22" s="21"/>
    </row>
    <row r="23" ht="17" spans="1:15">
      <c r="A23" s="3" t="s">
        <v>56</v>
      </c>
      <c r="B23" s="3" t="s">
        <v>16</v>
      </c>
      <c r="C23" s="8">
        <v>10000</v>
      </c>
      <c r="D23" s="8">
        <v>0</v>
      </c>
      <c r="E23" s="8">
        <v>10000</v>
      </c>
      <c r="F23" s="8"/>
      <c r="G23" s="8">
        <v>0</v>
      </c>
      <c r="H23" s="21" t="s">
        <v>48</v>
      </c>
      <c r="I23" s="21" t="s">
        <v>44</v>
      </c>
      <c r="J23" s="21"/>
      <c r="K23" s="21"/>
      <c r="L23" s="29"/>
      <c r="M23" s="21" t="s">
        <v>21</v>
      </c>
      <c r="N23" s="21" t="s">
        <v>57</v>
      </c>
      <c r="O23" s="21"/>
    </row>
    <row r="24" ht="17" spans="1:15">
      <c r="A24" s="12" t="s">
        <v>50</v>
      </c>
      <c r="B24" s="3" t="s">
        <v>16</v>
      </c>
      <c r="C24" s="8">
        <v>25000</v>
      </c>
      <c r="D24" s="8">
        <v>25000</v>
      </c>
      <c r="E24" s="8">
        <v>25000</v>
      </c>
      <c r="F24" s="8"/>
      <c r="G24" s="8">
        <v>0</v>
      </c>
      <c r="H24" s="21" t="s">
        <v>48</v>
      </c>
      <c r="I24" s="21" t="s">
        <v>44</v>
      </c>
      <c r="J24" s="31">
        <v>45911</v>
      </c>
      <c r="K24" s="30"/>
      <c r="L24" s="29"/>
      <c r="M24" s="21" t="s">
        <v>49</v>
      </c>
      <c r="N24" s="21" t="s">
        <v>36</v>
      </c>
      <c r="O24" s="21" t="s">
        <v>51</v>
      </c>
    </row>
    <row r="25" ht="17" spans="1:15">
      <c r="A25" s="12" t="s">
        <v>58</v>
      </c>
      <c r="B25" s="3" t="s">
        <v>16</v>
      </c>
      <c r="C25" s="8">
        <v>1500</v>
      </c>
      <c r="D25" s="8">
        <v>1500</v>
      </c>
      <c r="E25" s="8">
        <v>2000</v>
      </c>
      <c r="F25" s="8"/>
      <c r="G25" s="8"/>
      <c r="H25" s="21" t="s">
        <v>59</v>
      </c>
      <c r="I25" s="21" t="s">
        <v>44</v>
      </c>
      <c r="J25" s="30">
        <v>45901</v>
      </c>
      <c r="K25" s="21"/>
      <c r="L25" s="29"/>
      <c r="M25" s="21" t="s">
        <v>21</v>
      </c>
      <c r="N25" s="21" t="s">
        <v>36</v>
      </c>
      <c r="O25" s="21"/>
    </row>
    <row r="26" ht="17" spans="1:15">
      <c r="A26" s="3" t="s">
        <v>60</v>
      </c>
      <c r="B26" s="3" t="s">
        <v>16</v>
      </c>
      <c r="C26" s="8"/>
      <c r="D26" s="8"/>
      <c r="E26" s="8">
        <v>50000</v>
      </c>
      <c r="F26" s="8"/>
      <c r="G26" s="8">
        <v>0</v>
      </c>
      <c r="H26" s="21" t="s">
        <v>59</v>
      </c>
      <c r="I26" s="21" t="s">
        <v>44</v>
      </c>
      <c r="J26" s="30">
        <v>49536</v>
      </c>
      <c r="K26" s="21"/>
      <c r="L26" s="27"/>
      <c r="M26" s="21" t="s">
        <v>21</v>
      </c>
      <c r="N26" s="21" t="s">
        <v>22</v>
      </c>
      <c r="O26" s="21"/>
    </row>
    <row r="27" ht="17" spans="1:15">
      <c r="A27" s="3" t="s">
        <v>61</v>
      </c>
      <c r="B27" s="3" t="s">
        <v>16</v>
      </c>
      <c r="C27" s="8" t="s">
        <v>41</v>
      </c>
      <c r="D27" s="8" t="s">
        <v>41</v>
      </c>
      <c r="E27" s="8">
        <v>10000</v>
      </c>
      <c r="F27" s="8">
        <v>10000</v>
      </c>
      <c r="G27" s="8"/>
      <c r="H27" s="21" t="s">
        <v>62</v>
      </c>
      <c r="I27" s="21" t="s">
        <v>63</v>
      </c>
      <c r="J27" s="21"/>
      <c r="K27" s="21"/>
      <c r="L27" s="29"/>
      <c r="M27" s="21" t="s">
        <v>21</v>
      </c>
      <c r="N27" s="21" t="s">
        <v>36</v>
      </c>
      <c r="O27" s="21"/>
    </row>
    <row r="28" ht="17" spans="1:15">
      <c r="A28" s="12" t="s">
        <v>64</v>
      </c>
      <c r="B28" s="3" t="s">
        <v>16</v>
      </c>
      <c r="C28" s="8">
        <v>5000</v>
      </c>
      <c r="D28" s="8">
        <v>5000</v>
      </c>
      <c r="E28" s="8">
        <v>5000</v>
      </c>
      <c r="F28" s="8">
        <v>5000</v>
      </c>
      <c r="G28" s="8"/>
      <c r="H28" s="21" t="s">
        <v>62</v>
      </c>
      <c r="I28" s="21" t="s">
        <v>39</v>
      </c>
      <c r="J28" s="21"/>
      <c r="K28" s="21"/>
      <c r="L28" s="29"/>
      <c r="M28" s="21" t="s">
        <v>21</v>
      </c>
      <c r="N28" s="21" t="s">
        <v>36</v>
      </c>
      <c r="O28" s="21"/>
    </row>
    <row r="29" ht="17" spans="1:15">
      <c r="A29" s="12" t="s">
        <v>65</v>
      </c>
      <c r="B29" s="3" t="s">
        <v>24</v>
      </c>
      <c r="C29" s="8">
        <v>5000</v>
      </c>
      <c r="D29" s="8">
        <v>0</v>
      </c>
      <c r="E29" s="8">
        <v>5000</v>
      </c>
      <c r="F29" s="8">
        <v>5000</v>
      </c>
      <c r="G29" s="8"/>
      <c r="H29" s="21" t="s">
        <v>62</v>
      </c>
      <c r="I29" s="21" t="s">
        <v>66</v>
      </c>
      <c r="J29" s="30">
        <v>45747</v>
      </c>
      <c r="K29" s="21"/>
      <c r="L29" s="29"/>
      <c r="M29" s="21" t="s">
        <v>21</v>
      </c>
      <c r="N29" s="21" t="s">
        <v>22</v>
      </c>
      <c r="O29" s="21"/>
    </row>
    <row r="30" ht="17" spans="1:15">
      <c r="A30" s="3" t="s">
        <v>67</v>
      </c>
      <c r="B30" s="3" t="s">
        <v>24</v>
      </c>
      <c r="C30" s="8">
        <v>2500</v>
      </c>
      <c r="D30" s="8">
        <v>0</v>
      </c>
      <c r="E30" s="8">
        <v>2500</v>
      </c>
      <c r="F30" s="8">
        <v>2500</v>
      </c>
      <c r="G30" s="8"/>
      <c r="H30" s="21" t="s">
        <v>62</v>
      </c>
      <c r="I30" s="21" t="s">
        <v>66</v>
      </c>
      <c r="J30" s="32">
        <v>45747</v>
      </c>
      <c r="K30" s="21"/>
      <c r="L30" s="29"/>
      <c r="M30" s="21" t="s">
        <v>21</v>
      </c>
      <c r="N30" s="21" t="s">
        <v>22</v>
      </c>
      <c r="O30" s="21"/>
    </row>
    <row r="31" ht="17" spans="1:15">
      <c r="A31" s="3" t="s">
        <v>68</v>
      </c>
      <c r="B31" s="3" t="s">
        <v>24</v>
      </c>
      <c r="C31" s="8">
        <v>2000</v>
      </c>
      <c r="D31" s="8">
        <v>0</v>
      </c>
      <c r="E31" s="8">
        <v>2000</v>
      </c>
      <c r="F31" s="8">
        <v>2000</v>
      </c>
      <c r="G31" s="8"/>
      <c r="H31" s="21" t="s">
        <v>62</v>
      </c>
      <c r="I31" s="21" t="s">
        <v>66</v>
      </c>
      <c r="J31" s="33">
        <v>45747</v>
      </c>
      <c r="K31" s="21"/>
      <c r="L31" s="29"/>
      <c r="M31" s="21" t="s">
        <v>21</v>
      </c>
      <c r="N31" s="21" t="s">
        <v>22</v>
      </c>
      <c r="O31" s="21"/>
    </row>
    <row r="32" ht="17" spans="1:15">
      <c r="A32" s="3" t="s">
        <v>69</v>
      </c>
      <c r="B32" s="3" t="s">
        <v>24</v>
      </c>
      <c r="C32" s="8">
        <v>2000</v>
      </c>
      <c r="D32" s="4">
        <v>0</v>
      </c>
      <c r="E32" s="8">
        <v>2000</v>
      </c>
      <c r="F32" s="8">
        <v>2000</v>
      </c>
      <c r="G32" s="8"/>
      <c r="H32" s="21" t="s">
        <v>62</v>
      </c>
      <c r="I32" s="21" t="s">
        <v>66</v>
      </c>
      <c r="J32" s="30">
        <v>45747</v>
      </c>
      <c r="K32" s="21"/>
      <c r="L32" s="29"/>
      <c r="M32" s="21" t="s">
        <v>21</v>
      </c>
      <c r="N32" s="21" t="s">
        <v>22</v>
      </c>
      <c r="O32" s="21"/>
    </row>
    <row r="33" ht="17" spans="1:15">
      <c r="A33" s="3" t="s">
        <v>70</v>
      </c>
      <c r="B33" s="3" t="s">
        <v>24</v>
      </c>
      <c r="C33" s="8">
        <v>5000</v>
      </c>
      <c r="D33" s="8">
        <v>0</v>
      </c>
      <c r="E33" s="8">
        <v>5000</v>
      </c>
      <c r="F33" s="8">
        <v>5000</v>
      </c>
      <c r="G33" s="8"/>
      <c r="H33" s="21" t="s">
        <v>62</v>
      </c>
      <c r="I33" s="21" t="s">
        <v>66</v>
      </c>
      <c r="J33" s="30">
        <v>45747</v>
      </c>
      <c r="K33" s="21"/>
      <c r="L33" s="29"/>
      <c r="M33" s="21" t="s">
        <v>21</v>
      </c>
      <c r="N33" s="21" t="s">
        <v>22</v>
      </c>
      <c r="O33" s="21"/>
    </row>
    <row r="34" ht="17" spans="1:15">
      <c r="A34" s="3" t="s">
        <v>71</v>
      </c>
      <c r="B34" s="3" t="s">
        <v>24</v>
      </c>
      <c r="C34" s="8">
        <v>1000</v>
      </c>
      <c r="D34" s="8">
        <v>0</v>
      </c>
      <c r="E34" s="8">
        <v>1000</v>
      </c>
      <c r="F34" s="8">
        <v>1000</v>
      </c>
      <c r="G34" s="8"/>
      <c r="H34" s="21" t="s">
        <v>62</v>
      </c>
      <c r="I34" s="21" t="s">
        <v>66</v>
      </c>
      <c r="J34" s="30">
        <v>45747</v>
      </c>
      <c r="K34" s="21"/>
      <c r="L34" s="29"/>
      <c r="M34" s="21" t="s">
        <v>21</v>
      </c>
      <c r="N34" s="21" t="s">
        <v>22</v>
      </c>
      <c r="O34" s="21"/>
    </row>
    <row r="35" ht="17" spans="1:15">
      <c r="A35" s="3" t="s">
        <v>72</v>
      </c>
      <c r="B35" s="3" t="s">
        <v>24</v>
      </c>
      <c r="C35" s="8">
        <v>3000</v>
      </c>
      <c r="D35" s="8">
        <v>0</v>
      </c>
      <c r="E35" s="8">
        <v>3000</v>
      </c>
      <c r="F35" s="8">
        <v>3000</v>
      </c>
      <c r="G35" s="8"/>
      <c r="H35" s="21" t="s">
        <v>62</v>
      </c>
      <c r="I35" s="21" t="s">
        <v>66</v>
      </c>
      <c r="J35" s="30">
        <v>45747</v>
      </c>
      <c r="K35" s="21"/>
      <c r="L35" s="29"/>
      <c r="M35" s="21" t="s">
        <v>21</v>
      </c>
      <c r="N35" s="21" t="s">
        <v>22</v>
      </c>
      <c r="O35" s="21"/>
    </row>
    <row r="36" ht="17" spans="1:15">
      <c r="A36" s="3" t="s">
        <v>73</v>
      </c>
      <c r="B36" s="3" t="s">
        <v>20</v>
      </c>
      <c r="C36" s="8">
        <v>2500</v>
      </c>
      <c r="D36" s="8">
        <v>0</v>
      </c>
      <c r="E36" s="8">
        <v>2500</v>
      </c>
      <c r="F36" s="8">
        <v>2500</v>
      </c>
      <c r="G36" s="8"/>
      <c r="H36" s="21" t="s">
        <v>62</v>
      </c>
      <c r="I36" s="21" t="s">
        <v>66</v>
      </c>
      <c r="J36" s="21"/>
      <c r="K36" s="30">
        <v>45579</v>
      </c>
      <c r="L36" s="29"/>
      <c r="M36" s="21" t="s">
        <v>21</v>
      </c>
      <c r="N36" s="21" t="s">
        <v>22</v>
      </c>
      <c r="O36" s="21"/>
    </row>
    <row r="37" ht="17" spans="1:15">
      <c r="A37" s="3" t="s">
        <v>74</v>
      </c>
      <c r="B37" s="3" t="s">
        <v>20</v>
      </c>
      <c r="C37" s="8">
        <v>10000</v>
      </c>
      <c r="D37" s="8">
        <v>0</v>
      </c>
      <c r="E37" s="8">
        <v>10000</v>
      </c>
      <c r="F37" s="8">
        <v>10000</v>
      </c>
      <c r="G37" s="8"/>
      <c r="H37" s="21" t="s">
        <v>62</v>
      </c>
      <c r="I37" s="21" t="s">
        <v>66</v>
      </c>
      <c r="J37" s="21"/>
      <c r="K37" s="21"/>
      <c r="L37" s="29"/>
      <c r="M37" s="21" t="s">
        <v>21</v>
      </c>
      <c r="N37" s="21" t="s">
        <v>22</v>
      </c>
      <c r="O37" s="21"/>
    </row>
    <row r="38" ht="17" spans="1:15">
      <c r="A38" s="12" t="s">
        <v>75</v>
      </c>
      <c r="B38" s="3" t="s">
        <v>20</v>
      </c>
      <c r="C38" s="8">
        <v>5000</v>
      </c>
      <c r="D38" s="8">
        <v>0</v>
      </c>
      <c r="E38" s="8">
        <v>5000</v>
      </c>
      <c r="F38" s="8">
        <v>5000</v>
      </c>
      <c r="G38" s="8"/>
      <c r="H38" s="21" t="s">
        <v>62</v>
      </c>
      <c r="I38" s="21" t="s">
        <v>66</v>
      </c>
      <c r="J38" s="32"/>
      <c r="K38" s="21"/>
      <c r="L38" s="29"/>
      <c r="M38" s="21" t="s">
        <v>21</v>
      </c>
      <c r="N38" s="21" t="s">
        <v>36</v>
      </c>
      <c r="O38" s="21"/>
    </row>
    <row r="39" ht="17" spans="1:15">
      <c r="A39" s="3" t="s">
        <v>76</v>
      </c>
      <c r="B39" s="3" t="s">
        <v>20</v>
      </c>
      <c r="C39" s="8">
        <v>2000</v>
      </c>
      <c r="D39" s="8">
        <v>0</v>
      </c>
      <c r="E39" s="8">
        <v>2000</v>
      </c>
      <c r="F39" s="8">
        <v>2000</v>
      </c>
      <c r="G39" s="8"/>
      <c r="H39" s="21" t="s">
        <v>62</v>
      </c>
      <c r="I39" s="21" t="s">
        <v>66</v>
      </c>
      <c r="J39" s="32">
        <v>45747</v>
      </c>
      <c r="K39" s="21"/>
      <c r="L39" s="29"/>
      <c r="M39" s="21" t="s">
        <v>21</v>
      </c>
      <c r="N39" s="21" t="s">
        <v>22</v>
      </c>
      <c r="O39" s="21"/>
    </row>
    <row r="40" ht="17" spans="1:15">
      <c r="A40" s="3" t="s">
        <v>77</v>
      </c>
      <c r="B40" s="3" t="s">
        <v>20</v>
      </c>
      <c r="C40" s="8">
        <v>5000</v>
      </c>
      <c r="D40" s="8">
        <v>0</v>
      </c>
      <c r="E40" s="8">
        <v>5000</v>
      </c>
      <c r="F40" s="8">
        <v>5000</v>
      </c>
      <c r="G40" s="8"/>
      <c r="H40" s="21" t="s">
        <v>62</v>
      </c>
      <c r="I40" s="21" t="s">
        <v>66</v>
      </c>
      <c r="J40" s="21"/>
      <c r="K40" s="21"/>
      <c r="L40" s="29"/>
      <c r="M40" s="21" t="s">
        <v>21</v>
      </c>
      <c r="N40" s="21" t="s">
        <v>22</v>
      </c>
      <c r="O40" s="21"/>
    </row>
    <row r="41" ht="17" spans="1:15">
      <c r="A41" s="3" t="s">
        <v>78</v>
      </c>
      <c r="B41" s="3" t="s">
        <v>20</v>
      </c>
      <c r="C41" s="8">
        <v>2000</v>
      </c>
      <c r="D41" s="8">
        <v>0</v>
      </c>
      <c r="E41" s="8">
        <v>2000</v>
      </c>
      <c r="F41" s="8">
        <v>2000</v>
      </c>
      <c r="G41" s="8"/>
      <c r="H41" s="21" t="s">
        <v>62</v>
      </c>
      <c r="I41" s="21" t="s">
        <v>66</v>
      </c>
      <c r="J41" s="30">
        <v>45747</v>
      </c>
      <c r="K41" s="21"/>
      <c r="L41" s="29"/>
      <c r="M41" s="21" t="s">
        <v>21</v>
      </c>
      <c r="N41" s="21" t="s">
        <v>22</v>
      </c>
      <c r="O41" s="21"/>
    </row>
    <row r="42" ht="17" spans="1:15">
      <c r="A42" s="3" t="s">
        <v>79</v>
      </c>
      <c r="B42" s="3" t="s">
        <v>20</v>
      </c>
      <c r="C42" s="8">
        <v>10000</v>
      </c>
      <c r="D42" s="8">
        <v>0</v>
      </c>
      <c r="E42" s="23">
        <v>10000</v>
      </c>
      <c r="F42" s="8">
        <v>10000</v>
      </c>
      <c r="G42" s="8"/>
      <c r="H42" s="21" t="s">
        <v>62</v>
      </c>
      <c r="I42" s="21" t="s">
        <v>66</v>
      </c>
      <c r="J42" s="30">
        <v>45747</v>
      </c>
      <c r="K42" s="21"/>
      <c r="L42" s="29"/>
      <c r="M42" s="21" t="s">
        <v>21</v>
      </c>
      <c r="N42" s="21" t="s">
        <v>22</v>
      </c>
      <c r="O42" s="21"/>
    </row>
    <row r="43" ht="17" spans="1:15">
      <c r="A43" s="3" t="s">
        <v>80</v>
      </c>
      <c r="B43" s="3" t="s">
        <v>20</v>
      </c>
      <c r="C43" s="8">
        <v>5000</v>
      </c>
      <c r="D43" s="4">
        <v>0</v>
      </c>
      <c r="E43" s="8">
        <v>5000</v>
      </c>
      <c r="F43" s="8">
        <v>5000</v>
      </c>
      <c r="G43" s="8"/>
      <c r="H43" s="21" t="s">
        <v>62</v>
      </c>
      <c r="I43" s="21" t="s">
        <v>66</v>
      </c>
      <c r="J43" s="30">
        <v>45747</v>
      </c>
      <c r="K43" s="21"/>
      <c r="L43" s="29"/>
      <c r="M43" s="21" t="s">
        <v>21</v>
      </c>
      <c r="N43" s="21" t="s">
        <v>22</v>
      </c>
      <c r="O43" s="21"/>
    </row>
    <row r="44" ht="17" spans="1:15">
      <c r="A44" s="3" t="s">
        <v>81</v>
      </c>
      <c r="B44" s="3" t="s">
        <v>20</v>
      </c>
      <c r="C44" s="8">
        <v>10000</v>
      </c>
      <c r="D44" s="4">
        <v>0</v>
      </c>
      <c r="E44" s="23">
        <v>10000</v>
      </c>
      <c r="F44" s="8">
        <v>10000</v>
      </c>
      <c r="G44" s="8"/>
      <c r="H44" s="21" t="s">
        <v>62</v>
      </c>
      <c r="I44" s="21" t="s">
        <v>66</v>
      </c>
      <c r="J44" s="30">
        <v>45747</v>
      </c>
      <c r="K44" s="21"/>
      <c r="L44" s="29"/>
      <c r="M44" s="21" t="s">
        <v>21</v>
      </c>
      <c r="N44" s="21" t="s">
        <v>22</v>
      </c>
      <c r="O44" s="21"/>
    </row>
    <row r="45" ht="17" spans="1:15">
      <c r="A45" s="3" t="s">
        <v>82</v>
      </c>
      <c r="B45" s="3" t="s">
        <v>20</v>
      </c>
      <c r="C45" s="4">
        <v>2000</v>
      </c>
      <c r="D45" s="4">
        <v>0</v>
      </c>
      <c r="E45" s="8">
        <v>2000</v>
      </c>
      <c r="F45" s="8">
        <v>2000</v>
      </c>
      <c r="G45" s="8"/>
      <c r="H45" s="21" t="s">
        <v>62</v>
      </c>
      <c r="I45" s="21" t="s">
        <v>66</v>
      </c>
      <c r="J45" s="30">
        <v>45747</v>
      </c>
      <c r="K45" s="21"/>
      <c r="L45" s="29"/>
      <c r="M45" s="21" t="s">
        <v>21</v>
      </c>
      <c r="N45" s="21" t="s">
        <v>22</v>
      </c>
      <c r="O45" s="21"/>
    </row>
    <row r="46" ht="17" spans="1:15">
      <c r="A46" s="3" t="s">
        <v>83</v>
      </c>
      <c r="B46" s="3" t="s">
        <v>20</v>
      </c>
      <c r="C46" s="4">
        <v>10000</v>
      </c>
      <c r="D46" s="4">
        <v>0</v>
      </c>
      <c r="E46" s="23">
        <v>10000</v>
      </c>
      <c r="F46" s="8">
        <v>10000</v>
      </c>
      <c r="G46" s="8"/>
      <c r="H46" s="21" t="s">
        <v>62</v>
      </c>
      <c r="I46" s="21" t="s">
        <v>66</v>
      </c>
      <c r="J46" s="30">
        <v>45747</v>
      </c>
      <c r="K46" s="21"/>
      <c r="L46" s="29"/>
      <c r="M46" s="21" t="s">
        <v>21</v>
      </c>
      <c r="N46" s="21" t="s">
        <v>22</v>
      </c>
      <c r="O46" s="21"/>
    </row>
    <row r="47" ht="17" spans="1:15">
      <c r="A47" s="3" t="s">
        <v>84</v>
      </c>
      <c r="B47" s="3" t="s">
        <v>20</v>
      </c>
      <c r="C47" s="8">
        <v>3000</v>
      </c>
      <c r="D47" s="8">
        <v>0</v>
      </c>
      <c r="E47" s="8">
        <v>3000</v>
      </c>
      <c r="F47" s="8">
        <v>3000</v>
      </c>
      <c r="G47" s="8"/>
      <c r="H47" s="21" t="s">
        <v>62</v>
      </c>
      <c r="I47" s="21" t="s">
        <v>66</v>
      </c>
      <c r="J47" s="30">
        <v>45747</v>
      </c>
      <c r="K47" s="21"/>
      <c r="L47" s="29"/>
      <c r="M47" s="21" t="s">
        <v>21</v>
      </c>
      <c r="N47" s="21" t="s">
        <v>22</v>
      </c>
      <c r="O47" s="21"/>
    </row>
    <row r="48" ht="17" spans="1:15">
      <c r="A48" s="3" t="s">
        <v>85</v>
      </c>
      <c r="B48" s="3" t="s">
        <v>20</v>
      </c>
      <c r="C48" s="8">
        <v>10000</v>
      </c>
      <c r="D48" s="8">
        <v>0</v>
      </c>
      <c r="E48" s="23">
        <v>10000</v>
      </c>
      <c r="F48" s="8">
        <v>10000</v>
      </c>
      <c r="G48" s="8"/>
      <c r="H48" s="21" t="s">
        <v>62</v>
      </c>
      <c r="I48" s="21" t="s">
        <v>66</v>
      </c>
      <c r="J48" s="30">
        <v>45747</v>
      </c>
      <c r="K48" s="21"/>
      <c r="L48" s="29"/>
      <c r="M48" s="21" t="s">
        <v>21</v>
      </c>
      <c r="N48" s="21" t="s">
        <v>22</v>
      </c>
      <c r="O48" s="21"/>
    </row>
    <row r="49" ht="17" spans="1:15">
      <c r="A49" s="3" t="s">
        <v>86</v>
      </c>
      <c r="B49" s="3" t="s">
        <v>20</v>
      </c>
      <c r="C49" s="8">
        <v>5000</v>
      </c>
      <c r="D49" s="8">
        <v>0</v>
      </c>
      <c r="E49" s="8">
        <v>5000</v>
      </c>
      <c r="F49" s="8">
        <v>5000</v>
      </c>
      <c r="G49" s="8"/>
      <c r="H49" s="21" t="s">
        <v>62</v>
      </c>
      <c r="I49" s="21" t="s">
        <v>66</v>
      </c>
      <c r="J49" s="30">
        <v>45747</v>
      </c>
      <c r="K49" s="21"/>
      <c r="L49" s="29"/>
      <c r="M49" s="21" t="s">
        <v>21</v>
      </c>
      <c r="N49" s="21" t="s">
        <v>22</v>
      </c>
      <c r="O49" s="21"/>
    </row>
    <row r="50" ht="17" spans="1:15">
      <c r="A50" s="3" t="s">
        <v>87</v>
      </c>
      <c r="B50" s="3" t="s">
        <v>20</v>
      </c>
      <c r="C50" s="8">
        <v>5000</v>
      </c>
      <c r="D50" s="8">
        <v>0</v>
      </c>
      <c r="E50" s="8">
        <v>5000</v>
      </c>
      <c r="F50" s="8">
        <v>5000</v>
      </c>
      <c r="G50" s="8"/>
      <c r="H50" s="21" t="s">
        <v>62</v>
      </c>
      <c r="I50" s="21" t="s">
        <v>66</v>
      </c>
      <c r="J50" s="30">
        <v>45747</v>
      </c>
      <c r="K50" s="21"/>
      <c r="L50" s="29"/>
      <c r="M50" s="21" t="s">
        <v>21</v>
      </c>
      <c r="N50" s="21" t="s">
        <v>22</v>
      </c>
      <c r="O50" s="21"/>
    </row>
    <row r="51" ht="17" spans="1:15">
      <c r="A51" s="3" t="s">
        <v>88</v>
      </c>
      <c r="B51" s="3" t="s">
        <v>20</v>
      </c>
      <c r="C51" s="8">
        <v>2500</v>
      </c>
      <c r="D51" s="8">
        <v>0</v>
      </c>
      <c r="E51" s="8">
        <v>2500</v>
      </c>
      <c r="F51" s="8">
        <v>2500</v>
      </c>
      <c r="G51" s="8"/>
      <c r="H51" s="21" t="s">
        <v>62</v>
      </c>
      <c r="I51" s="21" t="s">
        <v>66</v>
      </c>
      <c r="J51" s="30">
        <v>45747</v>
      </c>
      <c r="K51" s="21"/>
      <c r="L51" s="29"/>
      <c r="M51" s="21" t="s">
        <v>21</v>
      </c>
      <c r="N51" s="21" t="s">
        <v>22</v>
      </c>
      <c r="O51" s="21"/>
    </row>
    <row r="52" ht="17" spans="1:15">
      <c r="A52" s="3" t="s">
        <v>89</v>
      </c>
      <c r="B52" s="3" t="s">
        <v>20</v>
      </c>
      <c r="C52" s="8">
        <v>5000</v>
      </c>
      <c r="D52" s="8">
        <v>0</v>
      </c>
      <c r="E52" s="8">
        <v>5000</v>
      </c>
      <c r="F52" s="8">
        <v>5000</v>
      </c>
      <c r="G52" s="8"/>
      <c r="H52" s="21" t="s">
        <v>62</v>
      </c>
      <c r="I52" s="21" t="s">
        <v>66</v>
      </c>
      <c r="J52" s="30">
        <v>45747</v>
      </c>
      <c r="K52" s="21"/>
      <c r="L52" s="29"/>
      <c r="M52" s="21" t="s">
        <v>21</v>
      </c>
      <c r="N52" s="21" t="s">
        <v>22</v>
      </c>
      <c r="O52" s="21"/>
    </row>
    <row r="53" s="2" customFormat="1" ht="17" spans="1:15">
      <c r="A53" s="12" t="s">
        <v>90</v>
      </c>
      <c r="B53" s="3" t="s">
        <v>16</v>
      </c>
      <c r="C53" s="8">
        <v>2000</v>
      </c>
      <c r="D53" s="8">
        <v>1000</v>
      </c>
      <c r="E53" s="8">
        <v>1000</v>
      </c>
      <c r="F53" s="8">
        <v>1000</v>
      </c>
      <c r="G53" s="8"/>
      <c r="H53" s="21" t="s">
        <v>62</v>
      </c>
      <c r="I53" s="21" t="s">
        <v>66</v>
      </c>
      <c r="J53" s="21"/>
      <c r="K53" s="21"/>
      <c r="L53" s="29"/>
      <c r="M53" s="21" t="s">
        <v>21</v>
      </c>
      <c r="N53" s="21" t="s">
        <v>91</v>
      </c>
      <c r="O53" s="21"/>
    </row>
    <row r="54" ht="17" spans="1:15">
      <c r="A54" s="3" t="s">
        <v>92</v>
      </c>
      <c r="B54" s="3" t="s">
        <v>16</v>
      </c>
      <c r="C54" s="8"/>
      <c r="D54" s="8"/>
      <c r="E54" s="8">
        <v>5000</v>
      </c>
      <c r="F54" s="8"/>
      <c r="G54" s="8">
        <v>0</v>
      </c>
      <c r="H54" s="21" t="s">
        <v>48</v>
      </c>
      <c r="I54" s="21" t="s">
        <v>44</v>
      </c>
      <c r="J54" s="30"/>
      <c r="K54" s="21"/>
      <c r="L54" s="27"/>
      <c r="M54" s="21" t="s">
        <v>21</v>
      </c>
      <c r="N54" s="21" t="s">
        <v>22</v>
      </c>
      <c r="O54" s="21"/>
    </row>
    <row r="55" spans="3:7">
      <c r="C55" s="8"/>
      <c r="D55" s="8"/>
      <c r="E55" s="24">
        <f>SUM(E2:E54)</f>
        <v>578000</v>
      </c>
      <c r="F55" s="25">
        <f>SUM(F2:F54)</f>
        <v>130500</v>
      </c>
      <c r="G55" s="18">
        <f>SUM(G2:G54)</f>
        <v>343186</v>
      </c>
    </row>
    <row r="56" spans="3:5">
      <c r="C56" s="8"/>
      <c r="D56" s="8"/>
      <c r="E56" s="8"/>
    </row>
    <row r="58" s="3" customFormat="1" spans="3:15">
      <c r="C58" s="8"/>
      <c r="D58" s="8"/>
      <c r="E58" s="8"/>
      <c r="G58" s="4"/>
      <c r="L58" s="5"/>
      <c r="O58" s="6"/>
    </row>
    <row r="59" s="3" customFormat="1" spans="3:15">
      <c r="C59" s="8"/>
      <c r="D59" s="8"/>
      <c r="E59" s="8"/>
      <c r="G59" s="4"/>
      <c r="L59" s="5"/>
      <c r="O59" s="6"/>
    </row>
    <row r="60" s="3" customFormat="1" ht="17" spans="1:15">
      <c r="A60" s="13" t="s">
        <v>93</v>
      </c>
      <c r="C60" s="8"/>
      <c r="D60" s="8"/>
      <c r="E60" s="8"/>
      <c r="G60" s="4"/>
      <c r="L60" s="5"/>
      <c r="O60" s="6"/>
    </row>
    <row r="61" s="3" customFormat="1" ht="17" spans="1:15">
      <c r="A61" s="14" t="s">
        <v>94</v>
      </c>
      <c r="B61" s="10" t="s">
        <v>24</v>
      </c>
      <c r="C61" s="15">
        <v>5000</v>
      </c>
      <c r="D61" s="15">
        <v>0</v>
      </c>
      <c r="E61" s="15">
        <v>5000</v>
      </c>
      <c r="F61" s="15">
        <v>5000</v>
      </c>
      <c r="G61" s="15"/>
      <c r="H61" s="22" t="s">
        <v>95</v>
      </c>
      <c r="I61" s="22"/>
      <c r="J61" s="34"/>
      <c r="K61" s="22"/>
      <c r="L61" s="28"/>
      <c r="M61" s="22"/>
      <c r="N61" s="22" t="s">
        <v>22</v>
      </c>
      <c r="O61" s="36"/>
    </row>
    <row r="62" s="3" customFormat="1" ht="17" spans="1:15">
      <c r="A62" s="9" t="s">
        <v>96</v>
      </c>
      <c r="B62" s="10" t="s">
        <v>24</v>
      </c>
      <c r="C62" s="15">
        <v>5000</v>
      </c>
      <c r="D62" s="15">
        <v>5000</v>
      </c>
      <c r="E62" s="15">
        <v>5000</v>
      </c>
      <c r="F62" s="15">
        <v>5000</v>
      </c>
      <c r="G62" s="15"/>
      <c r="H62" s="22" t="s">
        <v>95</v>
      </c>
      <c r="I62" s="22" t="s">
        <v>39</v>
      </c>
      <c r="J62" s="22"/>
      <c r="K62" s="22"/>
      <c r="L62" s="28"/>
      <c r="M62" s="22"/>
      <c r="N62" s="22" t="s">
        <v>22</v>
      </c>
      <c r="O62" s="36"/>
    </row>
    <row r="63" s="3" customFormat="1" ht="17" spans="1:15">
      <c r="A63" s="9" t="s">
        <v>97</v>
      </c>
      <c r="B63" s="10" t="s">
        <v>20</v>
      </c>
      <c r="C63" s="15">
        <v>5000</v>
      </c>
      <c r="D63" s="15">
        <v>0</v>
      </c>
      <c r="E63" s="15">
        <v>5000</v>
      </c>
      <c r="F63" s="15">
        <v>5000</v>
      </c>
      <c r="G63" s="15"/>
      <c r="H63" s="22" t="s">
        <v>95</v>
      </c>
      <c r="I63" s="22"/>
      <c r="J63" s="22"/>
      <c r="K63" s="22"/>
      <c r="L63" s="28"/>
      <c r="M63" s="22" t="s">
        <v>21</v>
      </c>
      <c r="N63" s="22" t="s">
        <v>22</v>
      </c>
      <c r="O63" s="36"/>
    </row>
    <row r="64" s="3" customFormat="1" ht="17" spans="1:15">
      <c r="A64" s="16" t="s">
        <v>98</v>
      </c>
      <c r="B64" s="17" t="s">
        <v>20</v>
      </c>
      <c r="C64" s="18">
        <v>5000</v>
      </c>
      <c r="D64" s="18">
        <v>5000</v>
      </c>
      <c r="E64" s="18">
        <v>5000</v>
      </c>
      <c r="F64" s="18">
        <v>5000</v>
      </c>
      <c r="G64" s="18"/>
      <c r="H64" s="26" t="s">
        <v>95</v>
      </c>
      <c r="I64" s="26"/>
      <c r="J64" s="26"/>
      <c r="K64" s="26"/>
      <c r="L64" s="35"/>
      <c r="M64" s="26" t="s">
        <v>21</v>
      </c>
      <c r="N64" s="26" t="s">
        <v>36</v>
      </c>
      <c r="O64" s="37"/>
    </row>
    <row r="65" s="3" customFormat="1" ht="17" spans="1:15">
      <c r="A65" s="9" t="s">
        <v>99</v>
      </c>
      <c r="B65" s="10" t="s">
        <v>16</v>
      </c>
      <c r="C65" s="15">
        <v>75000</v>
      </c>
      <c r="D65" s="15">
        <v>30000</v>
      </c>
      <c r="E65" s="15">
        <v>50000</v>
      </c>
      <c r="F65" s="15">
        <v>75000</v>
      </c>
      <c r="G65" s="15"/>
      <c r="H65" s="22" t="s">
        <v>100</v>
      </c>
      <c r="I65" s="22" t="s">
        <v>39</v>
      </c>
      <c r="J65" s="34">
        <v>45992</v>
      </c>
      <c r="K65" s="22"/>
      <c r="L65" s="28"/>
      <c r="M65" s="22" t="s">
        <v>21</v>
      </c>
      <c r="N65" s="22" t="s">
        <v>36</v>
      </c>
      <c r="O65" s="36"/>
    </row>
    <row r="66" s="3" customFormat="1" ht="17" spans="1:15">
      <c r="A66" s="9" t="s">
        <v>101</v>
      </c>
      <c r="B66" s="10" t="s">
        <v>16</v>
      </c>
      <c r="C66" s="15" t="s">
        <v>41</v>
      </c>
      <c r="D66" s="11">
        <v>934</v>
      </c>
      <c r="E66" s="15"/>
      <c r="F66" s="15"/>
      <c r="G66" s="15"/>
      <c r="H66" s="22" t="s">
        <v>100</v>
      </c>
      <c r="I66" s="22" t="s">
        <v>39</v>
      </c>
      <c r="J66" s="22"/>
      <c r="K66" s="22"/>
      <c r="L66" s="28"/>
      <c r="M66" s="22" t="s">
        <v>21</v>
      </c>
      <c r="N66" s="22" t="s">
        <v>36</v>
      </c>
      <c r="O66" s="36"/>
    </row>
    <row r="67" s="3" customFormat="1" ht="17" spans="1:15">
      <c r="A67" s="14" t="s">
        <v>102</v>
      </c>
      <c r="B67" s="10" t="s">
        <v>16</v>
      </c>
      <c r="C67" s="15">
        <v>2000</v>
      </c>
      <c r="D67" s="15">
        <v>0</v>
      </c>
      <c r="E67" s="15">
        <v>2000</v>
      </c>
      <c r="F67" s="15">
        <v>2000</v>
      </c>
      <c r="G67" s="15"/>
      <c r="H67" s="22" t="s">
        <v>100</v>
      </c>
      <c r="I67" s="22" t="s">
        <v>39</v>
      </c>
      <c r="J67" s="22"/>
      <c r="K67" s="22"/>
      <c r="L67" s="28"/>
      <c r="M67" s="22" t="s">
        <v>21</v>
      </c>
      <c r="N67" s="22" t="s">
        <v>91</v>
      </c>
      <c r="O67" s="36"/>
    </row>
    <row r="68" s="3" customFormat="1" ht="17" spans="1:15">
      <c r="A68" s="14" t="s">
        <v>103</v>
      </c>
      <c r="B68" s="10" t="s">
        <v>20</v>
      </c>
      <c r="C68" s="15">
        <v>5000</v>
      </c>
      <c r="D68" s="15">
        <v>0</v>
      </c>
      <c r="E68" s="15" t="s">
        <v>41</v>
      </c>
      <c r="F68" s="15" t="s">
        <v>41</v>
      </c>
      <c r="G68" s="15"/>
      <c r="H68" s="22" t="s">
        <v>62</v>
      </c>
      <c r="I68" s="22" t="s">
        <v>18</v>
      </c>
      <c r="J68" s="34">
        <v>45747</v>
      </c>
      <c r="K68" s="22"/>
      <c r="L68" s="28"/>
      <c r="M68" s="22" t="s">
        <v>21</v>
      </c>
      <c r="N68" s="22" t="s">
        <v>22</v>
      </c>
      <c r="O68" s="36"/>
    </row>
    <row r="69" ht="17" spans="1:15">
      <c r="A69" s="14" t="s">
        <v>104</v>
      </c>
      <c r="B69" s="10" t="s">
        <v>20</v>
      </c>
      <c r="C69" s="15">
        <v>2000</v>
      </c>
      <c r="D69" s="15">
        <v>0</v>
      </c>
      <c r="E69" s="15" t="s">
        <v>41</v>
      </c>
      <c r="F69" s="15" t="s">
        <v>41</v>
      </c>
      <c r="G69" s="15"/>
      <c r="H69" s="22" t="s">
        <v>62</v>
      </c>
      <c r="I69" s="22" t="s">
        <v>18</v>
      </c>
      <c r="J69" s="34">
        <v>45747</v>
      </c>
      <c r="K69" s="22"/>
      <c r="L69" s="28"/>
      <c r="M69" s="22" t="s">
        <v>21</v>
      </c>
      <c r="N69" s="22" t="s">
        <v>22</v>
      </c>
      <c r="O69" s="36"/>
    </row>
    <row r="70" ht="17" spans="1:15">
      <c r="A70" s="14" t="s">
        <v>103</v>
      </c>
      <c r="B70" s="10" t="s">
        <v>20</v>
      </c>
      <c r="C70" s="15">
        <v>5000</v>
      </c>
      <c r="D70" s="15">
        <v>0</v>
      </c>
      <c r="E70" s="15" t="s">
        <v>41</v>
      </c>
      <c r="F70" s="15" t="s">
        <v>41</v>
      </c>
      <c r="G70" s="15"/>
      <c r="H70" s="22" t="s">
        <v>62</v>
      </c>
      <c r="I70" s="22" t="s">
        <v>18</v>
      </c>
      <c r="J70" s="34">
        <v>45747</v>
      </c>
      <c r="K70" s="22"/>
      <c r="L70" s="28"/>
      <c r="M70" s="22" t="s">
        <v>21</v>
      </c>
      <c r="N70" s="22" t="s">
        <v>22</v>
      </c>
      <c r="O70" s="36"/>
    </row>
    <row r="71" ht="17" spans="1:15">
      <c r="A71" s="14" t="s">
        <v>104</v>
      </c>
      <c r="B71" s="10" t="s">
        <v>20</v>
      </c>
      <c r="C71" s="15">
        <v>2000</v>
      </c>
      <c r="D71" s="15">
        <v>0</v>
      </c>
      <c r="E71" s="15" t="s">
        <v>41</v>
      </c>
      <c r="F71" s="15" t="s">
        <v>41</v>
      </c>
      <c r="G71" s="15"/>
      <c r="H71" s="22" t="s">
        <v>62</v>
      </c>
      <c r="I71" s="22" t="s">
        <v>18</v>
      </c>
      <c r="J71" s="34">
        <v>45747</v>
      </c>
      <c r="K71" s="22"/>
      <c r="L71" s="28"/>
      <c r="M71" s="22" t="s">
        <v>21</v>
      </c>
      <c r="N71" s="22" t="s">
        <v>22</v>
      </c>
      <c r="O71" s="36"/>
    </row>
  </sheetData>
  <dataValidations count="6">
    <dataValidation type="list" allowBlank="1" showInputMessage="1" showErrorMessage="1" sqref="B1:B56 B58:B1048576">
      <formula1>"Foundation, Corporation, Family Fund, Solicitation Ltr"</formula1>
    </dataValidation>
    <dataValidation type="list" allowBlank="1" showInputMessage="1" showErrorMessage="1" sqref="H$1:H$1048576">
      <formula1>"Prospecting, Apply in 2026, Apply in Next Cycle, To Apply, In Progress, Solicitation Ltr Sent, Pending LOI, Submitted, Declined LOI, Declined Award, Approved LOI, Approved Award"</formula1>
    </dataValidation>
    <dataValidation type="list" allowBlank="1" showInputMessage="1" showErrorMessage="1" sqref="I$1:I$1048576">
      <formula1>"Prospecting, Awaiting LOI Decision, Submit Proposal, Awaiting Award Decision, Follow Up with Contact, Reporting, Apply in Next Cycle"</formula1>
    </dataValidation>
    <dataValidation type="list" allowBlank="1" showInputMessage="1" showErrorMessage="1" sqref="M$1:M$1048576">
      <formula1>"IMPACT 211, IMPACT CE, Planning &amp; Eval, Unrestricted "</formula1>
    </dataValidation>
    <dataValidation type="list" allowBlank="1" showInputMessage="1" showErrorMessage="1" sqref="N$1:N$1048576">
      <formula1>"All, Milwaukee, Waukesha, Kenosha, Racine, Ozaukee, Washington, Dodge, Jefferson, Walworth"</formula1>
    </dataValidation>
    <dataValidation allowBlank="1" showInputMessage="1" showErrorMessage="1" sqref="O1:O56 O58:O1048576"/>
  </dataValidations>
  <printOptions gridLines="1"/>
  <pageMargins left="0.7" right="0.7" top="0.75" bottom="0.75" header="0.3" footer="0.3"/>
  <pageSetup paperSize="1" scale="60" fitToWidth="0" fitToHeight="0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Main Tracker - FOR 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Wallner, Scott</dc:creator>
  <cp:lastModifiedBy>Victor Ike</cp:lastModifiedBy>
  <dcterms:created xsi:type="dcterms:W3CDTF">2025-06-24T07:42:00Z</dcterms:created>
  <dcterms:modified xsi:type="dcterms:W3CDTF">2026-07-24T21:44:36Z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11B96A951DEE84021423646A01B0AFD6_43</vt:lpwstr>
  </property>
  <property fmtid="{D5CDD505-2E9C-101B-9397-08002B2CF9AE}" pid="3" name="KSOProductBuildVer">
    <vt:lpwstr>1033-12.1.23155.23155</vt:lpwstr>
  </property>
</Properties>
</file>